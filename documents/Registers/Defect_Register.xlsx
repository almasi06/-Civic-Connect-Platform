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Defect States" sheetId="2" state="visible" r:id="rId2"/>
    <sheet xmlns:r="http://schemas.openxmlformats.org/officeDocument/2006/relationships" name="Severity Scal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'Defects'!$A$4:$G$32</definedName>
    <definedName name="_xlnm._FilterDatabase" localSheetId="1" hidden="1">'Defect States'!$A$1:$B$7</definedName>
    <definedName name="_xlnm._FilterDatabase" localSheetId="2" hidden="1">'Severity Scale'!$A$1:$B$5</definedName>
    <definedName name="_xlnm._FilterDatabase" localSheetId="3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EF08A"/>
      </patternFill>
    </fill>
    <fill>
      <patternFill patternType="solid">
        <fgColor rgb="00D9F99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0" customWidth="1" min="4" max="4"/>
    <col width="55" customWidth="1" min="5" max="5"/>
    <col width="35" customWidth="1" min="6" max="6"/>
    <col width="10" customWidth="1" min="7" max="7"/>
  </cols>
  <sheetData>
    <row r="1">
      <c r="A1" s="1" t="inlineStr">
        <is>
          <t>Defect Register — CivicConnect Milestone 3</t>
        </is>
      </c>
    </row>
    <row r="2">
      <c r="A2" s="2" t="inlineStr">
        <is>
          <t>Owner: Davidzo Malapile, Naledi Moeng, Kamohelo Mabena   Version: v1.0 (M3)   Last Updated: 2026-10-15</t>
        </is>
      </c>
    </row>
    <row r="4">
      <c r="A4" s="3" t="inlineStr">
        <is>
          <t>Defect ID</t>
        </is>
      </c>
      <c r="B4" s="3" t="inlineStr">
        <is>
          <t>Description</t>
        </is>
      </c>
      <c r="C4" s="3" t="inlineStr">
        <is>
          <t>Severity</t>
        </is>
      </c>
      <c r="D4" s="3" t="inlineStr">
        <is>
          <t>Status</t>
        </is>
      </c>
      <c r="E4" s="3" t="inlineStr">
        <is>
          <t>Fix</t>
        </is>
      </c>
      <c r="F4" s="3" t="inlineStr">
        <is>
          <t>Regression Test</t>
        </is>
      </c>
      <c r="G4" s="3" t="inlineStr">
        <is>
          <t>State</t>
        </is>
      </c>
    </row>
    <row r="5">
      <c r="A5" s="4" t="inlineStr">
        <is>
          <t>DEF-001</t>
        </is>
      </c>
      <c r="B5" s="4" t="inlineStr">
        <is>
          <t>Status transitions differ between frontend workflow.ts, routes/requests.ts, and routes/sync.ts — three inconsistent state machine tables</t>
        </is>
      </c>
      <c r="C5" s="5" t="inlineStr">
        <is>
          <t>High</t>
        </is>
      </c>
      <c r="D5" s="4" t="inlineStr">
        <is>
          <t>Fixed</t>
        </is>
      </c>
      <c r="E5" s="4" t="inlineStr">
        <is>
          <t>Created single source of truth in backend/server/domain/workflow.ts (ALLOWED + ROLE_CAN); imported by all routes</t>
        </is>
      </c>
      <c r="F5" s="4" t="inlineStr">
        <is>
          <t>TC-BE-WF-01 to TC-BE-WF-20 (20 unit tests)</t>
        </is>
      </c>
      <c r="G5" s="4" t="inlineStr">
        <is>
          <t>Closed</t>
        </is>
      </c>
    </row>
    <row r="6">
      <c r="A6" s="4" t="inlineStr">
        <is>
          <t>DEF-002</t>
        </is>
      </c>
      <c r="B6" s="4" t="inlineStr">
        <is>
          <t>RBAC only allowed field_worker in routes/requests.ts; admins could not assign or reject reports</t>
        </is>
      </c>
      <c r="C6" s="5" t="inlineStr">
        <is>
          <t>High</t>
        </is>
      </c>
      <c r="D6" s="4" t="inlineStr">
        <is>
          <t>Fixed</t>
        </is>
      </c>
      <c r="E6" s="4" t="inlineStr">
        <is>
          <t>Added requireRole("admin", "field_worker") middleware; created role-based transition matrix in workflow.ts</t>
        </is>
      </c>
      <c r="F6" s="4" t="inlineStr">
        <is>
          <t>TC-BE-RBAC-01 to TC-BE-RBAC-06</t>
        </is>
      </c>
      <c r="G6" s="4" t="inlineStr">
        <is>
          <t>Closed</t>
        </is>
      </c>
    </row>
    <row r="7">
      <c r="A7" s="4" t="inlineStr">
        <is>
          <t>DEF-003</t>
        </is>
      </c>
      <c r="B7" s="4" t="inlineStr">
        <is>
          <t>Seed MOCK_STAFF used plaintext passwords instead of bcrypt hashes</t>
        </is>
      </c>
      <c r="C7" s="6" t="inlineStr">
        <is>
          <t>Critical</t>
        </is>
      </c>
      <c r="D7" s="4" t="inlineStr">
        <is>
          <t>Fixed</t>
        </is>
      </c>
      <c r="E7" s="4" t="inlineStr">
        <is>
          <t>Replaced with bcrypt-hashed password verification; seed SQL updated with real hashes</t>
        </is>
      </c>
      <c r="F7" s="4" t="inlineStr">
        <is>
          <t>TC-BE-AUTH-01 (valid login succeeds)</t>
        </is>
      </c>
      <c r="G7" s="4" t="inlineStr">
        <is>
          <t>Closed</t>
        </is>
      </c>
    </row>
    <row r="8">
      <c r="A8" s="4" t="inlineStr">
        <is>
          <t>DEF-004</t>
        </is>
      </c>
      <c r="B8" s="4" t="inlineStr">
        <is>
          <t>Fake JWT tokens (dev-token-${id}) instead of real signed tokens</t>
        </is>
      </c>
      <c r="C8" s="6" t="inlineStr">
        <is>
          <t>Critical</t>
        </is>
      </c>
      <c r="D8" s="4" t="inlineStr">
        <is>
          <t>Fixed</t>
        </is>
      </c>
      <c r="E8" s="4" t="inlineStr">
        <is>
          <t>Implemented jsonwebtoken signing with JWT_SECRET; verification in auth.middleware.ts</t>
        </is>
      </c>
      <c r="F8" s="4" t="inlineStr">
        <is>
          <t>TC-BE-AUTH-01, TC-BE-AUTH-08</t>
        </is>
      </c>
      <c r="G8" s="4" t="inlineStr">
        <is>
          <t>Closed</t>
        </is>
      </c>
    </row>
    <row r="9">
      <c r="A9" s="4" t="inlineStr">
        <is>
          <t>DEF-005</t>
        </is>
      </c>
      <c r="B9" s="4" t="inlineStr">
        <is>
          <t>GET /api/auth/me always returned 401</t>
        </is>
      </c>
      <c r="C9" s="7" t="inlineStr">
        <is>
          <t>Medium</t>
        </is>
      </c>
      <c r="D9" s="4" t="inlineStr">
        <is>
          <t>Fixed</t>
        </is>
      </c>
      <c r="E9" s="4" t="inlineStr">
        <is>
          <t>Implemented JWT verification and user lookup by req.user.id</t>
        </is>
      </c>
      <c r="F9" s="4" t="inlineStr">
        <is>
          <t>TC-BE-AUTH-06</t>
        </is>
      </c>
      <c r="G9" s="4" t="inlineStr">
        <is>
          <t>Closed</t>
        </is>
      </c>
    </row>
    <row r="10">
      <c r="A10" s="4" t="inlineStr">
        <is>
          <t>DEF-006</t>
        </is>
      </c>
      <c r="B10" s="4" t="inlineStr">
        <is>
          <t>No body size limit on express.json()</t>
        </is>
      </c>
      <c r="C10" s="7" t="inlineStr">
        <is>
          <t>Medium</t>
        </is>
      </c>
      <c r="D10" s="4" t="inlineStr">
        <is>
          <t>Fixed</t>
        </is>
      </c>
      <c r="E10" s="4" t="inlineStr">
        <is>
          <t>Set limit: "4mb" for base64 photo payloads</t>
        </is>
      </c>
      <c r="F10" s="4" t="inlineStr">
        <is>
          <t>Manual: large photo upload works</t>
        </is>
      </c>
      <c r="G10" s="4" t="inlineStr">
        <is>
          <t>Closed</t>
        </is>
      </c>
    </row>
    <row r="11">
      <c r="A11" s="4" t="inlineStr">
        <is>
          <t>DEF-007</t>
        </is>
      </c>
      <c r="B11" s="4" t="inlineStr">
        <is>
          <t>Unknown keys not stripped from incoming payloads</t>
        </is>
      </c>
      <c r="C11" s="8" t="inlineStr">
        <is>
          <t>Low</t>
        </is>
      </c>
      <c r="D11" s="4" t="inlineStr">
        <is>
          <t>Fixed</t>
        </is>
      </c>
      <c r="E11" s="4" t="inlineStr">
        <is>
          <t>Zod schema validation strips unknown keys via .strict() or .parse()</t>
        </is>
      </c>
      <c r="F11" s="4" t="inlineStr">
        <is>
          <t>TC-BE-VAL-01 to TC-BE-VAL-06</t>
        </is>
      </c>
      <c r="G11" s="4" t="inlineStr">
        <is>
          <t>Closed</t>
        </is>
      </c>
    </row>
    <row r="12">
      <c r="A12" s="4" t="inlineStr">
        <is>
          <t>DEF-008</t>
        </is>
      </c>
      <c r="B12" s="4" t="inlineStr">
        <is>
          <t>No PATCH /api/requests/:id/assign endpoint</t>
        </is>
      </c>
      <c r="C12" s="5" t="inlineStr">
        <is>
          <t>High</t>
        </is>
      </c>
      <c r="D12" s="4" t="inlineStr">
        <is>
          <t>Fixed</t>
        </is>
      </c>
      <c r="E12" s="4" t="inlineStr">
        <is>
          <t>Assignment handled via PATCH /:id/status with assignedTo and assignedName fields</t>
        </is>
      </c>
      <c r="F12" s="4" t="inlineStr">
        <is>
          <t>TC-BE-TRANS-01</t>
        </is>
      </c>
      <c r="G12" s="4" t="inlineStr">
        <is>
          <t>Closed</t>
        </is>
      </c>
    </row>
    <row r="13">
      <c r="A13" s="4" t="inlineStr">
        <is>
          <t>DEF-009</t>
        </is>
      </c>
      <c r="B13" s="4" t="inlineStr">
        <is>
          <t>No filtering support on GET /api/requests</t>
        </is>
      </c>
      <c r="C13" s="7" t="inlineStr">
        <is>
          <t>Medium</t>
        </is>
      </c>
      <c r="D13" s="4" t="inlineStr">
        <is>
          <t>Fixed</t>
        </is>
      </c>
      <c r="E13" s="4" t="inlineStr">
        <is>
          <t>Added q, status, category, department, sort query params to requestRepository.list()</t>
        </is>
      </c>
      <c r="F13" s="4" t="inlineStr">
        <is>
          <t>TC-BE-REQ-05 to TC-BE-REQ-09</t>
        </is>
      </c>
      <c r="G13" s="4" t="inlineStr">
        <is>
          <t>Closed</t>
        </is>
      </c>
    </row>
    <row r="14">
      <c r="A14" s="4" t="inlineStr">
        <is>
          <t>DEF-010</t>
        </is>
      </c>
      <c r="B14" s="4" t="inlineStr">
        <is>
          <t>In-memory store lost data on server restart</t>
        </is>
      </c>
      <c r="C14" s="6" t="inlineStr">
        <is>
          <t>Critical</t>
        </is>
      </c>
      <c r="D14" s="4" t="inlineStr">
        <is>
          <t>Fixed</t>
        </is>
      </c>
      <c r="E14" s="4" t="inlineStr">
        <is>
          <t>Replaced with PostgreSQL persistence via requestRepository, userRepository, teamRepository; deleted store.ts</t>
        </is>
      </c>
      <c r="F14" s="4" t="inlineStr">
        <is>
          <t>Manual: server restart preserves reports</t>
        </is>
      </c>
      <c r="G14" s="4" t="inlineStr">
        <is>
          <t>Closed</t>
        </is>
      </c>
    </row>
    <row r="15">
      <c r="A15" s="4" t="inlineStr">
        <is>
          <t>DEF-011</t>
        </is>
      </c>
      <c r="B15" s="4" t="inlineStr">
        <is>
          <t>sync.ts had no transaction; batch could partially apply</t>
        </is>
      </c>
      <c r="C15" s="5" t="inlineStr">
        <is>
          <t>High</t>
        </is>
      </c>
      <c r="D15" s="4" t="inlineStr">
        <is>
          <t>Fixed</t>
        </is>
      </c>
      <c r="E15" s="4" t="inlineStr">
        <is>
          <t>Wrapped sync batch in BEGIN/COMMIT/ROLLBACK</t>
        </is>
      </c>
      <c r="F15" s="4" t="inlineStr">
        <is>
          <t>Manual: sync insert + idempotency verified</t>
        </is>
      </c>
      <c r="G15" s="4" t="inlineStr">
        <is>
          <t>Closed</t>
        </is>
      </c>
    </row>
    <row r="16">
      <c r="A16" s="4" t="inlineStr">
        <is>
          <t>DEF-012</t>
        </is>
      </c>
      <c r="B16" s="4" t="inlineStr">
        <is>
          <t>No idempotency on sync — retried batches applied twice</t>
        </is>
      </c>
      <c r="C16" s="5" t="inlineStr">
        <is>
          <t>High</t>
        </is>
      </c>
      <c r="D16" s="4" t="inlineStr">
        <is>
          <t>Fixed</t>
        </is>
      </c>
      <c r="E16" s="4" t="inlineStr">
        <is>
          <t>Added idempotency_keys table; sync checks before processing</t>
        </is>
      </c>
      <c r="F16" s="4" t="inlineStr">
        <is>
          <t>Manual: same sync twice returns {"accepted":[]}</t>
        </is>
      </c>
      <c r="G16" s="4" t="inlineStr">
        <is>
          <t>Closed</t>
        </is>
      </c>
    </row>
    <row r="17">
      <c r="A17" s="4" t="inlineStr">
        <is>
          <t>DEF-013</t>
        </is>
      </c>
      <c r="B17" s="4" t="inlineStr">
        <is>
          <t>sync.ts returned 403 on first failure, aborting batch</t>
        </is>
      </c>
      <c r="C17" s="5" t="inlineStr">
        <is>
          <t>High</t>
        </is>
      </c>
      <c r="D17" s="4" t="inlineStr">
        <is>
          <t>Fixed</t>
        </is>
      </c>
      <c r="E17" s="4" t="inlineStr">
        <is>
          <t>Errors are collected and reported per-request; batch continues where safe</t>
        </is>
      </c>
      <c r="F17" s="4" t="inlineStr">
        <is>
          <t>TC-BE-SYNC-04</t>
        </is>
      </c>
      <c r="G17" s="4" t="inlineStr">
        <is>
          <t>Closed</t>
        </is>
      </c>
    </row>
    <row r="18">
      <c r="A18" s="4" t="inlineStr">
        <is>
          <t>DEF-014</t>
        </is>
      </c>
      <c r="B18" s="4" t="inlineStr">
        <is>
          <t>Team validation imported MOCK_STAFF directly instead of DB</t>
        </is>
      </c>
      <c r="C18" s="5" t="inlineStr">
        <is>
          <t>High</t>
        </is>
      </c>
      <c r="D18" s="4" t="inlineStr">
        <is>
          <t>Fixed</t>
        </is>
      </c>
      <c r="E18" s="4" t="inlineStr">
        <is>
          <t>Replaced with userRepository.isActiveFieldWorker() DB check</t>
        </is>
      </c>
      <c r="F18" s="4" t="inlineStr">
        <is>
          <t>TC-BE-VAL-05</t>
        </is>
      </c>
      <c r="G18" s="4" t="inlineStr">
        <is>
          <t>Closed</t>
        </is>
      </c>
    </row>
    <row r="19">
      <c r="A19" s="4" t="inlineStr">
        <is>
          <t>DEF-015</t>
        </is>
      </c>
      <c r="B19" s="4" t="inlineStr">
        <is>
          <t>isAdmin() duplicated in every route file</t>
        </is>
      </c>
      <c r="C19" s="7" t="inlineStr">
        <is>
          <t>Medium</t>
        </is>
      </c>
      <c r="D19" s="4" t="inlineStr">
        <is>
          <t>Fixed</t>
        </is>
      </c>
      <c r="E19" s="4" t="inlineStr">
        <is>
          <t>Centralized as requireRole("admin") middleware</t>
        </is>
      </c>
      <c r="F19" s="4" t="inlineStr">
        <is>
          <t>TC-BE-RBAC-01 to TC-BE-RBAC-06</t>
        </is>
      </c>
      <c r="G19" s="4" t="inlineStr">
        <is>
          <t>Closed</t>
        </is>
      </c>
    </row>
    <row r="20">
      <c r="A20" s="4" t="inlineStr">
        <is>
          <t>DEF-016</t>
        </is>
      </c>
      <c r="B20" s="4" t="inlineStr">
        <is>
          <t>No is_active flag; workers could not be deactivated</t>
        </is>
      </c>
      <c r="C20" s="7" t="inlineStr">
        <is>
          <t>Medium</t>
        </is>
      </c>
      <c r="D20" s="4" t="inlineStr">
        <is>
          <t>Fixed</t>
        </is>
      </c>
      <c r="E20" s="4" t="inlineStr">
        <is>
          <t>Added is_active column to users table; listActiveFieldWorkers() filters by it</t>
        </is>
      </c>
      <c r="F20" s="4" t="inlineStr">
        <is>
          <t>Manual: deactivated workers excluded from assignment list</t>
        </is>
      </c>
      <c r="G20" s="4" t="inlineStr">
        <is>
          <t>Closed</t>
        </is>
      </c>
    </row>
    <row r="21">
      <c r="A21" s="4" t="inlineStr">
        <is>
          <t>DEF-017</t>
        </is>
      </c>
      <c r="B21" s="4" t="inlineStr">
        <is>
          <t>authenticatedUser() used O(n) in-memory lookup for token validation</t>
        </is>
      </c>
      <c r="C21" s="5" t="inlineStr">
        <is>
          <t>High</t>
        </is>
      </c>
      <c r="D21" s="4" t="inlineStr">
        <is>
          <t>Fixed</t>
        </is>
      </c>
      <c r="E21" s="4" t="inlineStr">
        <is>
          <t>Replaced with stateless JWT verification (O(1))</t>
        </is>
      </c>
      <c r="F21" s="4" t="inlineStr">
        <is>
          <t>TC-BE-AUTH-01 to TC-BE-AUTH-10</t>
        </is>
      </c>
      <c r="G21" s="4" t="inlineStr">
        <is>
          <t>Closed</t>
        </is>
      </c>
    </row>
    <row r="22">
      <c r="A22" s="4" t="inlineStr">
        <is>
          <t>DEF-018</t>
        </is>
      </c>
      <c r="B22" s="4" t="inlineStr">
        <is>
          <t>Seed SQL inserted placeholder text (PASTE_WORKER_HASH_HERE) in users.password_hash</t>
        </is>
      </c>
      <c r="C22" s="5" t="inlineStr">
        <is>
          <t>High</t>
        </is>
      </c>
      <c r="D22" s="4" t="inlineStr">
        <is>
          <t>Fixed</t>
        </is>
      </c>
      <c r="E22" s="4" t="inlineStr">
        <is>
          <t>Updated users table with real bcrypt hashes generated via bcryptjs</t>
        </is>
      </c>
      <c r="F22" s="4" t="inlineStr">
        <is>
          <t>TC-BE-AUTH-01</t>
        </is>
      </c>
      <c r="G22" s="4" t="inlineStr">
        <is>
          <t>Closed</t>
        </is>
      </c>
    </row>
    <row r="23">
      <c r="A23" s="4" t="inlineStr">
        <is>
          <t>DEF-019</t>
        </is>
      </c>
      <c r="B23" s="4" t="inlineStr">
        <is>
          <t>requests.ts route handler duplicated the POST / block twice in the file</t>
        </is>
      </c>
      <c r="C23" s="8" t="inlineStr">
        <is>
          <t>Low</t>
        </is>
      </c>
      <c r="D23" s="4" t="inlineStr">
        <is>
          <t>Fixed</t>
        </is>
      </c>
      <c r="E23" s="4" t="inlineStr">
        <is>
          <t>Removed duplicate block; single handler now used</t>
        </is>
      </c>
      <c r="F23" s="4" t="inlineStr">
        <is>
          <t>npm run typecheck passes</t>
        </is>
      </c>
      <c r="G23" s="4" t="inlineStr">
        <is>
          <t>Closed</t>
        </is>
      </c>
    </row>
    <row r="24">
      <c r="A24" s="4" t="inlineStr">
        <is>
          <t>DEF-020</t>
        </is>
      </c>
      <c r="B24" s="4" t="inlineStr">
        <is>
          <t>Login rate limiter (10 attempts per 15 min) blocked automated test suites; false 429 responses masked real failures</t>
        </is>
      </c>
      <c r="C24" s="8" t="inlineStr">
        <is>
          <t>Low</t>
        </is>
      </c>
      <c r="D24" s="4" t="inlineStr">
        <is>
          <t>Fixed</t>
        </is>
      </c>
      <c r="E24" s="4" t="inlineStr">
        <is>
          <t>Rate limiter bypassed when DISABLE_RATE_LIMIT=1; threshold raised to 1000 in non-production</t>
        </is>
      </c>
      <c r="F24" s="4" t="inlineStr">
        <is>
          <t>TC-BE-AUTH-01 to TC-BE-AUTH-10</t>
        </is>
      </c>
      <c r="G24" s="4" t="inlineStr">
        <is>
          <t>Closed</t>
        </is>
      </c>
    </row>
    <row r="25">
      <c r="A25" s="4" t="inlineStr">
        <is>
          <t>DEF-021</t>
        </is>
      </c>
      <c r="B25" s="4" t="inlineStr">
        <is>
          <t>Frontend add() wrote only to localStorage; reports never reached the backend API</t>
        </is>
      </c>
      <c r="C25" s="5" t="inlineStr">
        <is>
          <t>High</t>
        </is>
      </c>
      <c r="D25" s="4" t="inlineStr">
        <is>
          <t>Fixed</t>
        </is>
      </c>
      <c r="E25" s="4" t="inlineStr">
        <is>
          <t>Updated src/persistence/requestRepository.ts add() to POST /api/requests; caller in report.tsx awaits the call</t>
        </is>
      </c>
      <c r="F25" s="4" t="inlineStr">
        <is>
          <t>Manual E2E: submit via UI → report appears in Supabase</t>
        </is>
      </c>
      <c r="G25" s="4" t="inlineStr">
        <is>
          <t>Closed</t>
        </is>
      </c>
    </row>
    <row r="26">
      <c r="A26" s="4" t="inlineStr">
        <is>
          <t>DEF-022</t>
        </is>
      </c>
      <c r="B26" s="4" t="inlineStr">
        <is>
          <t>Vite import path ./public/styles.css from src/main.tsx resolved incorrectly; frontend failed to load</t>
        </is>
      </c>
      <c r="C26" s="7" t="inlineStr">
        <is>
          <t>Medium</t>
        </is>
      </c>
      <c r="D26" s="4" t="inlineStr">
        <is>
          <t>Fixed</t>
        </is>
      </c>
      <c r="E26" s="4" t="inlineStr">
        <is>
          <t>Changed import to ../public/styles.css</t>
        </is>
      </c>
      <c r="F26" s="4" t="inlineStr">
        <is>
          <t>Frontend loads at http://localhost:5173</t>
        </is>
      </c>
      <c r="G26" s="4" t="inlineStr">
        <is>
          <t>Closed</t>
        </is>
      </c>
    </row>
    <row r="27">
      <c r="A27" s="4" t="inlineStr">
        <is>
          <t>DEF-023</t>
        </is>
      </c>
      <c r="B27" s="4" t="inlineStr">
        <is>
          <t>Root package.json scripts referenced obsolete path src/server/index.ts after backend migration</t>
        </is>
      </c>
      <c r="C27" s="7" t="inlineStr">
        <is>
          <t>Medium</t>
        </is>
      </c>
      <c r="D27" s="4" t="inlineStr">
        <is>
          <t>Fixed</t>
        </is>
      </c>
      <c r="E27" s="4" t="inlineStr">
        <is>
          <t>Updated root scripts to cd backend &amp;&amp; npm run dev; added dev:all via concurrently</t>
        </is>
      </c>
      <c r="F27" s="4" t="inlineStr">
        <is>
          <t>npm run dev:all starts both services</t>
        </is>
      </c>
      <c r="G27" s="4" t="inlineStr">
        <is>
          <t>Closed</t>
        </is>
      </c>
    </row>
    <row r="28">
      <c r="A28" s="4" t="inlineStr">
        <is>
          <t>DEF-024</t>
        </is>
      </c>
      <c r="B28" s="4" t="inlineStr">
        <is>
          <t>Supabase Direct Connection uses IPv6; failed on team's network</t>
        </is>
      </c>
      <c r="C28" s="5" t="inlineStr">
        <is>
          <t>High</t>
        </is>
      </c>
      <c r="D28" s="4" t="inlineStr">
        <is>
          <t>Fixed</t>
        </is>
      </c>
      <c r="E28" s="4" t="inlineStr">
        <is>
          <t>Switched to Session Pooler connection string (IPv4-compatible)</t>
        </is>
      </c>
      <c r="F28" s="4" t="inlineStr">
        <is>
          <t>/health returns {"ok":true,"db":"connected"}</t>
        </is>
      </c>
      <c r="G28" s="4" t="inlineStr">
        <is>
          <t>Closed</t>
        </is>
      </c>
    </row>
    <row r="29">
      <c r="A29" s="4" t="inlineStr">
        <is>
          <t>DEF-025</t>
        </is>
      </c>
      <c r="B29" s="4" t="inlineStr">
        <is>
          <t>Seed SQL inserted placeholder hashes instead of real bcrypt values; login failed with 500</t>
        </is>
      </c>
      <c r="C29" s="5" t="inlineStr">
        <is>
          <t>High</t>
        </is>
      </c>
      <c r="D29" s="4" t="inlineStr">
        <is>
          <t>Fixed</t>
        </is>
      </c>
      <c r="E29" s="4" t="inlineStr">
        <is>
          <t>Updated users.password_hash with real bcrypt hashes</t>
        </is>
      </c>
      <c r="F29" s="4" t="inlineStr">
        <is>
          <t>Login succeeds with valid credentials</t>
        </is>
      </c>
      <c r="G29" s="4" t="inlineStr">
        <is>
          <t>Closed</t>
        </is>
      </c>
    </row>
    <row r="30">
      <c r="A30" s="4" t="inlineStr">
        <is>
          <t>DEF-026</t>
        </is>
      </c>
      <c r="B30" s="4" t="inlineStr">
        <is>
          <t>transitions.test.ts created empty (no describe() block); Vitest reported "No test suite found"</t>
        </is>
      </c>
      <c r="C30" s="8" t="inlineStr">
        <is>
          <t>Low</t>
        </is>
      </c>
      <c r="D30" s="4" t="inlineStr">
        <is>
          <t>Fixed</t>
        </is>
      </c>
      <c r="E30" s="4" t="inlineStr">
        <is>
          <t>Populated with 6 test cases (TC-BE-TRANS-01 to TC-BE-TRANS-06)</t>
        </is>
      </c>
      <c r="F30" s="4" t="inlineStr">
        <is>
          <t>All 6 tests pass</t>
        </is>
      </c>
      <c r="G30" s="4" t="inlineStr">
        <is>
          <t>Closed</t>
        </is>
      </c>
    </row>
    <row r="31">
      <c r="A31" s="4" t="inlineStr">
        <is>
          <t>DEF-027</t>
        </is>
      </c>
      <c r="B31" s="4" t="inlineStr">
        <is>
          <t>Password hash verification type cast failed TypeScript strict mode</t>
        </is>
      </c>
      <c r="C31" s="8" t="inlineStr">
        <is>
          <t>Low</t>
        </is>
      </c>
      <c r="D31" s="4" t="inlineStr">
        <is>
          <t>Fixed</t>
        </is>
      </c>
      <c r="E31" s="4" t="inlineStr">
        <is>
          <t>Changed to jwt.JwtPayload &amp; { sub: string; role: Role } intersection type</t>
        </is>
      </c>
      <c r="F31" s="4" t="inlineStr">
        <is>
          <t>npm run typecheck passes</t>
        </is>
      </c>
      <c r="G31" s="4" t="inlineStr">
        <is>
          <t>Closed</t>
        </is>
      </c>
    </row>
    <row r="32">
      <c r="A32" s="4" t="inlineStr">
        <is>
          <t>DEF-028</t>
        </is>
      </c>
      <c r="B32" s="4" t="inlineStr">
        <is>
          <t>requestRepository.create() call from requests.ts failed TypeScript structural check</t>
        </is>
      </c>
      <c r="C32" s="8" t="inlineStr">
        <is>
          <t>Low</t>
        </is>
      </c>
      <c r="D32" s="4" t="inlineStr">
        <is>
          <t>Fixed</t>
        </is>
      </c>
      <c r="E32" s="4" t="inlineStr">
        <is>
          <t>Added as ServiceRequest cast with imported type</t>
        </is>
      </c>
      <c r="F32" s="4" t="inlineStr">
        <is>
          <t>npm run typecheck passes</t>
        </is>
      </c>
      <c r="G32" s="4" t="inlineStr">
        <is>
          <t>Closed</t>
        </is>
      </c>
    </row>
  </sheetData>
  <autoFilter ref="A4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9" t="inlineStr">
        <is>
          <t>State</t>
        </is>
      </c>
      <c r="B1" s="9" t="inlineStr">
        <is>
          <t>Meaning</t>
        </is>
      </c>
    </row>
    <row r="2">
      <c r="A2" s="4" t="inlineStr">
        <is>
          <t>Open</t>
        </is>
      </c>
      <c r="B2" s="4" t="inlineStr">
        <is>
          <t>Identified, not yet fixed</t>
        </is>
      </c>
    </row>
    <row r="3">
      <c r="A3" s="4" t="inlineStr">
        <is>
          <t>In Progress</t>
        </is>
      </c>
      <c r="B3" s="4" t="inlineStr">
        <is>
          <t>Fix under development</t>
        </is>
      </c>
    </row>
    <row r="4">
      <c r="A4" s="4" t="inlineStr">
        <is>
          <t>Fixed</t>
        </is>
      </c>
      <c r="B4" s="4" t="inlineStr">
        <is>
          <t>Code/decision updated, awaiting verification</t>
        </is>
      </c>
    </row>
    <row r="5">
      <c r="A5" s="4" t="inlineStr">
        <is>
          <t>Verified</t>
        </is>
      </c>
      <c r="B5" s="4" t="inlineStr">
        <is>
          <t>Fix confirmed by test/evidence</t>
        </is>
      </c>
    </row>
    <row r="6">
      <c r="A6" s="4" t="inlineStr">
        <is>
          <t>Closed</t>
        </is>
      </c>
      <c r="B6" s="4" t="inlineStr">
        <is>
          <t>Fully resolved; no further action</t>
        </is>
      </c>
    </row>
    <row r="7">
      <c r="A7" s="4" t="inlineStr">
        <is>
          <t>Won't Fix</t>
        </is>
      </c>
      <c r="B7" s="4" t="inlineStr">
        <is>
          <t>Accepted as known limitation (must be justified)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9" t="inlineStr">
        <is>
          <t>Severity</t>
        </is>
      </c>
      <c r="B1" s="9" t="inlineStr">
        <is>
          <t>Definition</t>
        </is>
      </c>
    </row>
    <row r="2">
      <c r="A2" s="4" t="inlineStr">
        <is>
          <t>Critical</t>
        </is>
      </c>
      <c r="B2" s="4" t="inlineStr">
        <is>
          <t>Blocks core functionality or exposes security vulnerability; must be fixed before release</t>
        </is>
      </c>
    </row>
    <row r="3">
      <c r="A3" s="4" t="inlineStr">
        <is>
          <t>High</t>
        </is>
      </c>
      <c r="B3" s="4" t="inlineStr">
        <is>
          <t>Significant functional break or data correctness issue; fix required for M3</t>
        </is>
      </c>
    </row>
    <row r="4">
      <c r="A4" s="4" t="inlineStr">
        <is>
          <t>Medium</t>
        </is>
      </c>
      <c r="B4" s="4" t="inlineStr">
        <is>
          <t>Functional gap or quality issue; fix preferred, may be deferred with justification</t>
        </is>
      </c>
    </row>
    <row r="5">
      <c r="A5" s="4" t="inlineStr">
        <is>
          <t>Low</t>
        </is>
      </c>
      <c r="B5" s="4" t="inlineStr">
        <is>
          <t>Cosmetic or minor issue; may be accepted as technical debt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9" t="inlineStr">
        <is>
          <t>Metric</t>
        </is>
      </c>
      <c r="B1" s="9" t="inlineStr">
        <is>
          <t>Count</t>
        </is>
      </c>
    </row>
    <row r="2">
      <c r="A2" s="4" t="inlineStr">
        <is>
          <t>Total defects recorded</t>
        </is>
      </c>
      <c r="B2" s="4">
        <f>COUNTA(Defects!A5:A32)</f>
        <v/>
      </c>
    </row>
    <row r="3">
      <c r="A3" s="4" t="inlineStr">
        <is>
          <t>Closed (fixed and verified)</t>
        </is>
      </c>
      <c r="B3" s="4">
        <f>COUNTIF(Defects!G5:G32,"Closed")</f>
        <v/>
      </c>
    </row>
    <row r="4">
      <c r="A4" s="4" t="inlineStr">
        <is>
          <t>Open</t>
        </is>
      </c>
      <c r="B4" s="4">
        <f>COUNTIF(Defects!G5:G32,"Open")</f>
        <v/>
      </c>
    </row>
    <row r="5">
      <c r="A5" s="4" t="inlineStr">
        <is>
          <t>Won't Fix</t>
        </is>
      </c>
      <c r="B5" s="4">
        <f>COUNTIF(Defects!G5:G32,"Won't Fix")</f>
        <v/>
      </c>
    </row>
    <row r="6">
      <c r="A6" s="4" t="inlineStr">
        <is>
          <t>Critical severity</t>
        </is>
      </c>
      <c r="B6" s="4">
        <f>COUNTIF(Defects!C5:C32,"Critical")</f>
        <v/>
      </c>
    </row>
    <row r="7">
      <c r="A7" s="4" t="inlineStr">
        <is>
          <t>High severity</t>
        </is>
      </c>
      <c r="B7" s="4">
        <f>COUNTIF(Defects!C5:C32,"High")</f>
        <v/>
      </c>
    </row>
    <row r="8">
      <c r="A8" s="4" t="inlineStr">
        <is>
          <t>Medium severity</t>
        </is>
      </c>
      <c r="B8" s="4">
        <f>COUNTIF(Defects!C5:C32,"Medium")</f>
        <v/>
      </c>
    </row>
    <row r="9">
      <c r="A9" s="4" t="inlineStr">
        <is>
          <t>Low severity</t>
        </is>
      </c>
      <c r="B9" s="4">
        <f>COUNTIF(Defects!C5:C32,"Low")</f>
        <v/>
      </c>
    </row>
    <row r="12" ht="45" customHeight="1">
      <c r="A12" s="10" t="inlineStr">
        <is>
          <t>Notes: DEF-001 to DEF-019 identified during M3 backend rewrite; DEF-020 to DEF-028 during M3 test suite construction and frontend integration. All defects closed with regression evidence.</t>
        </is>
      </c>
    </row>
  </sheetData>
  <autoFilter ref="A1:B9"/>
  <mergeCells count="1"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2026-10-15T17:30:27Z</dcterms:created>
  <dcterms:modified xmlns:dcterms="http://purl.org/dc/terms/" xmlns:xsi="http://www.w3.org/2001/XMLSchema-instance" xsi:type="dcterms:W3CDTF">2026-10-15T17:30:27Z</dcterms:modified>
</cp:coreProperties>
</file>
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ects" sheetId="1" state="visible" r:id="rId1"/>
    <sheet xmlns:r="http://schemas.openxmlformats.org/officeDocument/2006/relationships" name="Severity Scale" sheetId="2" state="visible" r:id="rId2"/>
    <sheet xmlns:r="http://schemas.openxmlformats.org/officeDocument/2006/relationships" name="State Definitions" sheetId="3" state="visible" r:id="rId3"/>
    <sheet xmlns:r="http://schemas.openxmlformats.org/officeDocument/2006/relationships" name="Summary" sheetId="4" state="visible" r:id="rId4"/>
  </sheets>
  <definedNames>
    <definedName name="_xlnm._FilterDatabase" localSheetId="0" hidden="1">'Defects'!$A$1:$G$35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FFFFFF"/>
    </font>
    <font>
      <b val="1"/>
      <color rgb="009A3412"/>
    </font>
    <font>
      <b val="1"/>
      <color rgb="00166534"/>
    </font>
    <font>
      <color rgb="00166534"/>
    </font>
    <font>
      <b val="1"/>
      <color rgb="00991B1B"/>
    </font>
    <font>
      <color rgb="00854D0E"/>
    </font>
    <font>
      <b val="1"/>
      <sz val="14"/>
    </font>
    <font>
      <b val="1"/>
    </font>
  </fonts>
  <fills count="7">
    <fill>
      <patternFill/>
    </fill>
    <fill>
      <patternFill patternType="gray125"/>
    </fill>
    <fill>
      <patternFill patternType="solid">
        <fgColor rgb="001F2937"/>
      </patternFill>
    </fill>
    <fill>
      <patternFill patternType="solid">
        <fgColor rgb="00FFEDD5"/>
      </patternFill>
    </fill>
    <fill>
      <patternFill patternType="solid">
        <fgColor rgb="00FEE2E2"/>
      </patternFill>
    </fill>
    <fill>
      <patternFill patternType="solid">
        <fgColor rgb="00FEF9C3"/>
      </patternFill>
    </fill>
    <fill>
      <patternFill patternType="solid">
        <fgColor rgb="00DCFCE7"/>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left" vertical="center"/>
    </xf>
    <xf numFmtId="0" fontId="0"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4" borderId="1" applyAlignment="1" pivotButton="0" quotePrefix="0" xfId="0">
      <alignment vertical="top" wrapText="1"/>
    </xf>
    <xf numFmtId="0" fontId="6" fillId="5" borderId="1" applyAlignment="1" pivotButton="0" quotePrefix="0" xfId="0">
      <alignment vertical="top" wrapText="1"/>
    </xf>
    <xf numFmtId="0" fontId="4" fillId="6" borderId="1" applyAlignment="1" pivotButton="0" quotePrefix="0" xfId="0">
      <alignment vertical="top" wrapText="1"/>
    </xf>
    <xf numFmtId="0" fontId="1" fillId="2" borderId="1" pivotButton="0" quotePrefix="0" xfId="0"/>
    <xf numFmtId="0" fontId="7" fillId="0" borderId="0" pivotButton="0" quotePrefix="0" xfId="0"/>
    <xf numFmtId="0" fontId="8"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0" customWidth="1" min="3" max="3"/>
    <col width="10" customWidth="1" min="4" max="4"/>
    <col width="55" customWidth="1" min="5" max="5"/>
    <col width="40" customWidth="1" min="6" max="6"/>
    <col width="10" customWidth="1" min="7" max="7"/>
  </cols>
  <sheetData>
    <row r="1" ht="20" customHeight="1">
      <c r="A1" s="1" t="inlineStr">
        <is>
          <t>Defect ID</t>
        </is>
      </c>
      <c r="B1" s="1" t="inlineStr">
        <is>
          <t>Description</t>
        </is>
      </c>
      <c r="C1" s="1" t="inlineStr">
        <is>
          <t>Severity</t>
        </is>
      </c>
      <c r="D1" s="1" t="inlineStr">
        <is>
          <t>Status</t>
        </is>
      </c>
      <c r="E1" s="1" t="inlineStr">
        <is>
          <t>Fix</t>
        </is>
      </c>
      <c r="F1" s="1" t="inlineStr">
        <is>
          <t>Regression Test</t>
        </is>
      </c>
      <c r="G1" s="1" t="inlineStr">
        <is>
          <t>State</t>
        </is>
      </c>
    </row>
    <row r="2">
      <c r="A2" s="2" t="inlineStr">
        <is>
          <t>DEF-001</t>
        </is>
      </c>
      <c r="B2" s="2" t="inlineStr">
        <is>
          <t>Status transitions differ between frontend workflow.ts, routes/requests.ts, and routes/sync.ts — three inconsistent state machine tables</t>
        </is>
      </c>
      <c r="C2" s="3" t="inlineStr">
        <is>
          <t>High</t>
        </is>
      </c>
      <c r="D2" s="4" t="inlineStr">
        <is>
          <t>Fixed</t>
        </is>
      </c>
      <c r="E2" s="2" t="inlineStr">
        <is>
          <t>Created single source of truth in backend/server/domain/workflow.ts (ALLOWED + ROLE_CAN); imported by all routes</t>
        </is>
      </c>
      <c r="F2" s="2" t="inlineStr">
        <is>
          <t>TC-BE-WF-01 to TC-BE-WF-20 (20 unit tests)</t>
        </is>
      </c>
      <c r="G2" s="5" t="inlineStr">
        <is>
          <t>Closed</t>
        </is>
      </c>
    </row>
    <row r="3">
      <c r="A3" s="2" t="inlineStr">
        <is>
          <t>DEF-002</t>
        </is>
      </c>
      <c r="B3" s="2" t="inlineStr">
        <is>
          <t>RBAC only allowed field_worker in routes/requests.ts; admins could not assign or reject reports</t>
        </is>
      </c>
      <c r="C3" s="3" t="inlineStr">
        <is>
          <t>High</t>
        </is>
      </c>
      <c r="D3" s="4" t="inlineStr">
        <is>
          <t>Fixed</t>
        </is>
      </c>
      <c r="E3" s="2" t="inlineStr">
        <is>
          <t>Added requireRole("admin", "field_worker") middleware; created role-based transition matrix in workflow.ts</t>
        </is>
      </c>
      <c r="F3" s="2" t="inlineStr">
        <is>
          <t>TC-BE-RBAC-01 to TC-BE-RBAC-06</t>
        </is>
      </c>
      <c r="G3" s="5" t="inlineStr">
        <is>
          <t>Closed</t>
        </is>
      </c>
    </row>
    <row r="4">
      <c r="A4" s="2" t="inlineStr">
        <is>
          <t>DEF-003</t>
        </is>
      </c>
      <c r="B4" s="2" t="inlineStr">
        <is>
          <t>Seed MOCK_STAFF used plaintext passwords instead of bcrypt hashes</t>
        </is>
      </c>
      <c r="C4" s="6" t="inlineStr">
        <is>
          <t>Critical</t>
        </is>
      </c>
      <c r="D4" s="4" t="inlineStr">
        <is>
          <t>Fixed</t>
        </is>
      </c>
      <c r="E4" s="2" t="inlineStr">
        <is>
          <t>Replaced with bcrypt-hashed password verification; seed SQL updated with real hashes</t>
        </is>
      </c>
      <c r="F4" s="2" t="inlineStr">
        <is>
          <t>TC-BE-AUTH-01 (valid login succeeds)</t>
        </is>
      </c>
      <c r="G4" s="5" t="inlineStr">
        <is>
          <t>Closed</t>
        </is>
      </c>
    </row>
    <row r="5">
      <c r="A5" s="2" t="inlineStr">
        <is>
          <t>DEF-004</t>
        </is>
      </c>
      <c r="B5" s="2" t="inlineStr">
        <is>
          <t>Fake JWT tokens (dev-token-${id}) instead of real signed tokens</t>
        </is>
      </c>
      <c r="C5" s="6" t="inlineStr">
        <is>
          <t>Critical</t>
        </is>
      </c>
      <c r="D5" s="4" t="inlineStr">
        <is>
          <t>Fixed</t>
        </is>
      </c>
      <c r="E5" s="2" t="inlineStr">
        <is>
          <t>Implemented jsonwebtoken signing with JWT_SECRET; verification in auth.middleware.ts</t>
        </is>
      </c>
      <c r="F5" s="2" t="inlineStr">
        <is>
          <t>TC-BE-AUTH-01, TC-BE-AUTH-08</t>
        </is>
      </c>
      <c r="G5" s="5" t="inlineStr">
        <is>
          <t>Closed</t>
        </is>
      </c>
    </row>
    <row r="6">
      <c r="A6" s="2" t="inlineStr">
        <is>
          <t>DEF-005</t>
        </is>
      </c>
      <c r="B6" s="2" t="inlineStr">
        <is>
          <t>GET /api/auth/me always returned 401</t>
        </is>
      </c>
      <c r="C6" s="7" t="inlineStr">
        <is>
          <t>Medium</t>
        </is>
      </c>
      <c r="D6" s="4" t="inlineStr">
        <is>
          <t>Fixed</t>
        </is>
      </c>
      <c r="E6" s="2" t="inlineStr">
        <is>
          <t>Implemented JWT verification and user lookup by req.user.id</t>
        </is>
      </c>
      <c r="F6" s="2" t="inlineStr">
        <is>
          <t>TC-BE-AUTH-06</t>
        </is>
      </c>
      <c r="G6" s="5" t="inlineStr">
        <is>
          <t>Closed</t>
        </is>
      </c>
    </row>
    <row r="7">
      <c r="A7" s="2" t="inlineStr">
        <is>
          <t>DEF-006</t>
        </is>
      </c>
      <c r="B7" s="2" t="inlineStr">
        <is>
          <t>No body size limit on express.json()</t>
        </is>
      </c>
      <c r="C7" s="7" t="inlineStr">
        <is>
          <t>Medium</t>
        </is>
      </c>
      <c r="D7" s="4" t="inlineStr">
        <is>
          <t>Fixed</t>
        </is>
      </c>
      <c r="E7" s="2" t="inlineStr">
        <is>
          <t>Set limit: "4mb" for base64 photo payloads</t>
        </is>
      </c>
      <c r="F7" s="2" t="inlineStr">
        <is>
          <t>Manual: large photo upload works</t>
        </is>
      </c>
      <c r="G7" s="5" t="inlineStr">
        <is>
          <t>Closed</t>
        </is>
      </c>
    </row>
    <row r="8">
      <c r="A8" s="2" t="inlineStr">
        <is>
          <t>DEF-007</t>
        </is>
      </c>
      <c r="B8" s="2" t="inlineStr">
        <is>
          <t>Unknown keys not stripped from incoming payloads</t>
        </is>
      </c>
      <c r="C8" s="8" t="inlineStr">
        <is>
          <t>Low</t>
        </is>
      </c>
      <c r="D8" s="4" t="inlineStr">
        <is>
          <t>Fixed</t>
        </is>
      </c>
      <c r="E8" s="2" t="inlineStr">
        <is>
          <t>Zod schema validation strips unknown keys via .strict() or .parse()</t>
        </is>
      </c>
      <c r="F8" s="2" t="inlineStr">
        <is>
          <t>TC-BE-VAL-01 to TC-BE-VAL-06</t>
        </is>
      </c>
      <c r="G8" s="5" t="inlineStr">
        <is>
          <t>Closed</t>
        </is>
      </c>
    </row>
    <row r="9">
      <c r="A9" s="2" t="inlineStr">
        <is>
          <t>DEF-008</t>
        </is>
      </c>
      <c r="B9" s="2" t="inlineStr">
        <is>
          <t>No PATCH /api/requests/:id/assign endpoint</t>
        </is>
      </c>
      <c r="C9" s="3" t="inlineStr">
        <is>
          <t>High</t>
        </is>
      </c>
      <c r="D9" s="4" t="inlineStr">
        <is>
          <t>Fixed</t>
        </is>
      </c>
      <c r="E9" s="2" t="inlineStr">
        <is>
          <t>Assignment handled via PATCH /:id/status with assignedTo and assignedName fields</t>
        </is>
      </c>
      <c r="F9" s="2" t="inlineStr">
        <is>
          <t>TC-BE-TRANS-01</t>
        </is>
      </c>
      <c r="G9" s="5" t="inlineStr">
        <is>
          <t>Closed</t>
        </is>
      </c>
    </row>
    <row r="10">
      <c r="A10" s="2" t="inlineStr">
        <is>
          <t>DEF-009</t>
        </is>
      </c>
      <c r="B10" s="2" t="inlineStr">
        <is>
          <t>No filtering support on GET /api/requests</t>
        </is>
      </c>
      <c r="C10" s="7" t="inlineStr">
        <is>
          <t>Medium</t>
        </is>
      </c>
      <c r="D10" s="4" t="inlineStr">
        <is>
          <t>Fixed</t>
        </is>
      </c>
      <c r="E10" s="2" t="inlineStr">
        <is>
          <t>Added q, status, category, department, sort query params to requestRepository.list()</t>
        </is>
      </c>
      <c r="F10" s="2" t="inlineStr">
        <is>
          <t>TC-BE-REQ-05 to TC-BE-REQ-09</t>
        </is>
      </c>
      <c r="G10" s="5" t="inlineStr">
        <is>
          <t>Closed</t>
        </is>
      </c>
    </row>
    <row r="11">
      <c r="A11" s="2" t="inlineStr">
        <is>
          <t>DEF-010</t>
        </is>
      </c>
      <c r="B11" s="2" t="inlineStr">
        <is>
          <t>In-memory store lost data on server restart</t>
        </is>
      </c>
      <c r="C11" s="6" t="inlineStr">
        <is>
          <t>Critical</t>
        </is>
      </c>
      <c r="D11" s="4" t="inlineStr">
        <is>
          <t>Fixed</t>
        </is>
      </c>
      <c r="E11" s="2" t="inlineStr">
        <is>
          <t>Replaced with PostgreSQL persistence via requestRepository, userRepository, teamRepository; deleted store.ts</t>
        </is>
      </c>
      <c r="F11" s="2" t="inlineStr">
        <is>
          <t>Manual: server restart preserves reports</t>
        </is>
      </c>
      <c r="G11" s="5" t="inlineStr">
        <is>
          <t>Closed</t>
        </is>
      </c>
    </row>
    <row r="12">
      <c r="A12" s="2" t="inlineStr">
        <is>
          <t>DEF-011</t>
        </is>
      </c>
      <c r="B12" s="2" t="inlineStr">
        <is>
          <t>sync.ts had no transaction; batch could partially apply</t>
        </is>
      </c>
      <c r="C12" s="3" t="inlineStr">
        <is>
          <t>High</t>
        </is>
      </c>
      <c r="D12" s="4" t="inlineStr">
        <is>
          <t>Fixed</t>
        </is>
      </c>
      <c r="E12" s="2" t="inlineStr">
        <is>
          <t>Wrapped sync batch in BEGIN/COMMIT/ROLLBACK</t>
        </is>
      </c>
      <c r="F12" s="2" t="inlineStr">
        <is>
          <t>Manual: sync insert + idempotency verified</t>
        </is>
      </c>
      <c r="G12" s="5" t="inlineStr">
        <is>
          <t>Closed</t>
        </is>
      </c>
    </row>
    <row r="13">
      <c r="A13" s="2" t="inlineStr">
        <is>
          <t>DEF-012</t>
        </is>
      </c>
      <c r="B13" s="2" t="inlineStr">
        <is>
          <t>No idempotency on sync — retried batches applied twice</t>
        </is>
      </c>
      <c r="C13" s="3" t="inlineStr">
        <is>
          <t>High</t>
        </is>
      </c>
      <c r="D13" s="4" t="inlineStr">
        <is>
          <t>Fixed</t>
        </is>
      </c>
      <c r="E13" s="2" t="inlineStr">
        <is>
          <t>Added idempotency_keys table; sync checks before processing</t>
        </is>
      </c>
      <c r="F13" s="2" t="inlineStr">
        <is>
          <t>Manual: same sync twice returns {"accepted":[]}</t>
        </is>
      </c>
      <c r="G13" s="5" t="inlineStr">
        <is>
          <t>Closed</t>
        </is>
      </c>
    </row>
    <row r="14">
      <c r="A14" s="2" t="inlineStr">
        <is>
          <t>DEF-013</t>
        </is>
      </c>
      <c r="B14" s="2" t="inlineStr">
        <is>
          <t>sync.ts returned 403 on first failure, aborting batch</t>
        </is>
      </c>
      <c r="C14" s="3" t="inlineStr">
        <is>
          <t>High</t>
        </is>
      </c>
      <c r="D14" s="4" t="inlineStr">
        <is>
          <t>Fixed</t>
        </is>
      </c>
      <c r="E14" s="2" t="inlineStr">
        <is>
          <t>Errors are collected and reported per-request; batch continues where safe</t>
        </is>
      </c>
      <c r="F14" s="2" t="inlineStr">
        <is>
          <t>TC-BE-SYNC-04</t>
        </is>
      </c>
      <c r="G14" s="5" t="inlineStr">
        <is>
          <t>Closed</t>
        </is>
      </c>
    </row>
    <row r="15">
      <c r="A15" s="2" t="inlineStr">
        <is>
          <t>DEF-014</t>
        </is>
      </c>
      <c r="B15" s="2" t="inlineStr">
        <is>
          <t>Team validation imported MOCK_STAFF directly instead of DB</t>
        </is>
      </c>
      <c r="C15" s="3" t="inlineStr">
        <is>
          <t>High</t>
        </is>
      </c>
      <c r="D15" s="4" t="inlineStr">
        <is>
          <t>Fixed</t>
        </is>
      </c>
      <c r="E15" s="2" t="inlineStr">
        <is>
          <t>Replaced with userRepository.isActiveFieldWorker() DB check</t>
        </is>
      </c>
      <c r="F15" s="2" t="inlineStr">
        <is>
          <t>TC-BE-VAL-05</t>
        </is>
      </c>
      <c r="G15" s="5" t="inlineStr">
        <is>
          <t>Closed</t>
        </is>
      </c>
    </row>
    <row r="16">
      <c r="A16" s="2" t="inlineStr">
        <is>
          <t>DEF-015</t>
        </is>
      </c>
      <c r="B16" s="2" t="inlineStr">
        <is>
          <t>isAdmin() duplicated in every route file</t>
        </is>
      </c>
      <c r="C16" s="7" t="inlineStr">
        <is>
          <t>Medium</t>
        </is>
      </c>
      <c r="D16" s="4" t="inlineStr">
        <is>
          <t>Fixed</t>
        </is>
      </c>
      <c r="E16" s="2" t="inlineStr">
        <is>
          <t>Centralized as requireRole("admin") middleware</t>
        </is>
      </c>
      <c r="F16" s="2" t="inlineStr">
        <is>
          <t>TC-BE-RBAC-01 to TC-BE-RBAC-06</t>
        </is>
      </c>
      <c r="G16" s="5" t="inlineStr">
        <is>
          <t>Closed</t>
        </is>
      </c>
    </row>
    <row r="17">
      <c r="A17" s="2" t="inlineStr">
        <is>
          <t>DEF-016</t>
        </is>
      </c>
      <c r="B17" s="2" t="inlineStr">
        <is>
          <t>No is_active flag; workers could not be deactivated</t>
        </is>
      </c>
      <c r="C17" s="7" t="inlineStr">
        <is>
          <t>Medium</t>
        </is>
      </c>
      <c r="D17" s="4" t="inlineStr">
        <is>
          <t>Fixed</t>
        </is>
      </c>
      <c r="E17" s="2" t="inlineStr">
        <is>
          <t>Added is_active column to users table; listActiveFieldWorkers() filters by it</t>
        </is>
      </c>
      <c r="F17" s="2" t="inlineStr">
        <is>
          <t>Manual: deactivated workers excluded from assignment list</t>
        </is>
      </c>
      <c r="G17" s="5" t="inlineStr">
        <is>
          <t>Closed</t>
        </is>
      </c>
    </row>
    <row r="18">
      <c r="A18" s="2" t="inlineStr">
        <is>
          <t>DEF-017</t>
        </is>
      </c>
      <c r="B18" s="2" t="inlineStr">
        <is>
          <t>authenticatedUser() used O(n) in-memory lookup for token validation</t>
        </is>
      </c>
      <c r="C18" s="3" t="inlineStr">
        <is>
          <t>High</t>
        </is>
      </c>
      <c r="D18" s="4" t="inlineStr">
        <is>
          <t>Fixed</t>
        </is>
      </c>
      <c r="E18" s="2" t="inlineStr">
        <is>
          <t>Replaced with stateless JWT verification (O(1))</t>
        </is>
      </c>
      <c r="F18" s="2" t="inlineStr">
        <is>
          <t>TC-BE-AUTH-01 to TC-BE-AUTH-10</t>
        </is>
      </c>
      <c r="G18" s="5" t="inlineStr">
        <is>
          <t>Closed</t>
        </is>
      </c>
    </row>
    <row r="19">
      <c r="A19" s="2" t="inlineStr">
        <is>
          <t>DEF-018</t>
        </is>
      </c>
      <c r="B19" s="2" t="inlineStr">
        <is>
          <t>Seed SQL inserted placeholder text (PASTE_WORKER_HASH_HERE) in users.password_hash</t>
        </is>
      </c>
      <c r="C19" s="3" t="inlineStr">
        <is>
          <t>High</t>
        </is>
      </c>
      <c r="D19" s="4" t="inlineStr">
        <is>
          <t>Fixed</t>
        </is>
      </c>
      <c r="E19" s="2" t="inlineStr">
        <is>
          <t>Updated users table with real bcrypt hashes generated via bcryptjs</t>
        </is>
      </c>
      <c r="F19" s="2" t="inlineStr">
        <is>
          <t>TC-BE-AUTH-01</t>
        </is>
      </c>
      <c r="G19" s="5" t="inlineStr">
        <is>
          <t>Closed</t>
        </is>
      </c>
    </row>
    <row r="20">
      <c r="A20" s="2" t="inlineStr">
        <is>
          <t>DEF-019</t>
        </is>
      </c>
      <c r="B20" s="2" t="inlineStr">
        <is>
          <t>requests.ts route handler duplicated the POST / block twice in the file</t>
        </is>
      </c>
      <c r="C20" s="8" t="inlineStr">
        <is>
          <t>Low</t>
        </is>
      </c>
      <c r="D20" s="4" t="inlineStr">
        <is>
          <t>Fixed</t>
        </is>
      </c>
      <c r="E20" s="2" t="inlineStr">
        <is>
          <t>Removed duplicate block; single handler now used</t>
        </is>
      </c>
      <c r="F20" s="2" t="inlineStr">
        <is>
          <t>npm run typecheck passes</t>
        </is>
      </c>
      <c r="G20" s="5" t="inlineStr">
        <is>
          <t>Closed</t>
        </is>
      </c>
    </row>
    <row r="21">
      <c r="A21" s="2" t="inlineStr">
        <is>
          <t>DEF-020</t>
        </is>
      </c>
      <c r="B21" s="2" t="inlineStr">
        <is>
          <t>Login rate limiter (10 attempts per 15 min) blocked automated test suites; false 429 responses masked real failures</t>
        </is>
      </c>
      <c r="C21" s="8" t="inlineStr">
        <is>
          <t>Low</t>
        </is>
      </c>
      <c r="D21" s="4" t="inlineStr">
        <is>
          <t>Fixed</t>
        </is>
      </c>
      <c r="E21" s="2" t="inlineStr">
        <is>
          <t>Rate limiter bypassed when DISABLE_RATE_LIMIT=1; threshold raised to 1000 in non-production</t>
        </is>
      </c>
      <c r="F21" s="2" t="inlineStr">
        <is>
          <t>TC-BE-AUTH-01 to TC-BE-AUTH-10</t>
        </is>
      </c>
      <c r="G21" s="5" t="inlineStr">
        <is>
          <t>Closed</t>
        </is>
      </c>
    </row>
    <row r="22">
      <c r="A22" s="2" t="inlineStr">
        <is>
          <t>DEF-021</t>
        </is>
      </c>
      <c r="B22" s="2" t="inlineStr">
        <is>
          <t>Frontend add() wrote only to localStorage; reports never reached the backend API</t>
        </is>
      </c>
      <c r="C22" s="3" t="inlineStr">
        <is>
          <t>High</t>
        </is>
      </c>
      <c r="D22" s="4" t="inlineStr">
        <is>
          <t>Fixed</t>
        </is>
      </c>
      <c r="E22" s="2" t="inlineStr">
        <is>
          <t>Updated src/persistence/requestRepository.ts add() to POST /api/requests; caller in report.tsx awaits the call</t>
        </is>
      </c>
      <c r="F22" s="2" t="inlineStr">
        <is>
          <t>Manual E2E: submit via UI → report appears in Supabase</t>
        </is>
      </c>
      <c r="G22" s="5" t="inlineStr">
        <is>
          <t>Closed</t>
        </is>
      </c>
    </row>
    <row r="23">
      <c r="A23" s="2" t="inlineStr">
        <is>
          <t>DEF-022</t>
        </is>
      </c>
      <c r="B23" s="2" t="inlineStr">
        <is>
          <t>Vite import path ./public/styles.css from src/main.tsx resolved incorrectly; frontend failed to load</t>
        </is>
      </c>
      <c r="C23" s="7" t="inlineStr">
        <is>
          <t>Medium</t>
        </is>
      </c>
      <c r="D23" s="4" t="inlineStr">
        <is>
          <t>Fixed</t>
        </is>
      </c>
      <c r="E23" s="2" t="inlineStr">
        <is>
          <t>Changed import to ../public/styles.css</t>
        </is>
      </c>
      <c r="F23" s="2" t="inlineStr">
        <is>
          <t>Frontend loads at http://localhost:5173</t>
        </is>
      </c>
      <c r="G23" s="5" t="inlineStr">
        <is>
          <t>Closed</t>
        </is>
      </c>
    </row>
    <row r="24">
      <c r="A24" s="2" t="inlineStr">
        <is>
          <t>DEF-023</t>
        </is>
      </c>
      <c r="B24" s="2" t="inlineStr">
        <is>
          <t>Root package.json scripts referenced obsolete path src/server/index.ts after backend migration</t>
        </is>
      </c>
      <c r="C24" s="7" t="inlineStr">
        <is>
          <t>Medium</t>
        </is>
      </c>
      <c r="D24" s="4" t="inlineStr">
        <is>
          <t>Fixed</t>
        </is>
      </c>
      <c r="E24" s="2" t="inlineStr">
        <is>
          <t>Updated root scripts to cd backend &amp;&amp; npm run dev; added dev:all via concurrently</t>
        </is>
      </c>
      <c r="F24" s="2" t="inlineStr">
        <is>
          <t>npm run dev:all starts both services</t>
        </is>
      </c>
      <c r="G24" s="5" t="inlineStr">
        <is>
          <t>Closed</t>
        </is>
      </c>
    </row>
    <row r="25">
      <c r="A25" s="2" t="inlineStr">
        <is>
          <t>DEF-024</t>
        </is>
      </c>
      <c r="B25" s="2" t="inlineStr">
        <is>
          <t>Supabase Direct Connection uses IPv6; failed on team's network</t>
        </is>
      </c>
      <c r="C25" s="3" t="inlineStr">
        <is>
          <t>High</t>
        </is>
      </c>
      <c r="D25" s="4" t="inlineStr">
        <is>
          <t>Fixed</t>
        </is>
      </c>
      <c r="E25" s="2" t="inlineStr">
        <is>
          <t>Switched to Session Pooler connection string (IPv4-compatible)</t>
        </is>
      </c>
      <c r="F25" s="2" t="inlineStr">
        <is>
          <t>/health returns {"ok":true,"db":"connected"}</t>
        </is>
      </c>
      <c r="G25" s="5" t="inlineStr">
        <is>
          <t>Closed</t>
        </is>
      </c>
    </row>
    <row r="26">
      <c r="A26" s="2" t="inlineStr">
        <is>
          <t>DEF-025</t>
        </is>
      </c>
      <c r="B26" s="2" t="inlineStr">
        <is>
          <t>Seed SQL inserted placeholder hashes instead of real bcrypt values; login failed with 500</t>
        </is>
      </c>
      <c r="C26" s="3" t="inlineStr">
        <is>
          <t>High</t>
        </is>
      </c>
      <c r="D26" s="4" t="inlineStr">
        <is>
          <t>Fixed</t>
        </is>
      </c>
      <c r="E26" s="2" t="inlineStr">
        <is>
          <t>Updated users.password_hash with real bcrypt hashes</t>
        </is>
      </c>
      <c r="F26" s="2" t="inlineStr">
        <is>
          <t>Login succeeds with valid credentials</t>
        </is>
      </c>
      <c r="G26" s="5" t="inlineStr">
        <is>
          <t>Closed</t>
        </is>
      </c>
    </row>
    <row r="27">
      <c r="A27" s="2" t="inlineStr">
        <is>
          <t>DEF-026</t>
        </is>
      </c>
      <c r="B27" s="2" t="inlineStr">
        <is>
          <t>transitions.test.ts created empty (no describe() block); Vitest reported "No test suite found"</t>
        </is>
      </c>
      <c r="C27" s="8" t="inlineStr">
        <is>
          <t>Low</t>
        </is>
      </c>
      <c r="D27" s="4" t="inlineStr">
        <is>
          <t>Fixed</t>
        </is>
      </c>
      <c r="E27" s="2" t="inlineStr">
        <is>
          <t>Populated with 6 test cases (TC-BE-TRANS-01 to TC-BE-TRANS-06)</t>
        </is>
      </c>
      <c r="F27" s="2" t="inlineStr">
        <is>
          <t>All 6 tests pass</t>
        </is>
      </c>
      <c r="G27" s="5" t="inlineStr">
        <is>
          <t>Closed</t>
        </is>
      </c>
    </row>
    <row r="28">
      <c r="A28" s="2" t="inlineStr">
        <is>
          <t>DEF-027</t>
        </is>
      </c>
      <c r="B28" s="2" t="inlineStr">
        <is>
          <t>Password hash verification type cast failed TypeScript strict mode</t>
        </is>
      </c>
      <c r="C28" s="8" t="inlineStr">
        <is>
          <t>Low</t>
        </is>
      </c>
      <c r="D28" s="4" t="inlineStr">
        <is>
          <t>Fixed</t>
        </is>
      </c>
      <c r="E28" s="2" t="inlineStr">
        <is>
          <t>Changed to jwt.JwtPayload &amp; { sub: string; role: Role } intersection type</t>
        </is>
      </c>
      <c r="F28" s="2" t="inlineStr">
        <is>
          <t>npm run typecheck passes</t>
        </is>
      </c>
      <c r="G28" s="5" t="inlineStr">
        <is>
          <t>Closed</t>
        </is>
      </c>
    </row>
    <row r="29">
      <c r="A29" s="2" t="inlineStr">
        <is>
          <t>DEF-028</t>
        </is>
      </c>
      <c r="B29" s="2" t="inlineStr">
        <is>
          <t>requestRepository.create() call from requests.ts failed TypeScript structural check</t>
        </is>
      </c>
      <c r="C29" s="8" t="inlineStr">
        <is>
          <t>Low</t>
        </is>
      </c>
      <c r="D29" s="4" t="inlineStr">
        <is>
          <t>Fixed</t>
        </is>
      </c>
      <c r="E29" s="2" t="inlineStr">
        <is>
          <t>Added as ServiceRequest cast with imported type</t>
        </is>
      </c>
      <c r="F29" s="2" t="inlineStr">
        <is>
          <t>npm run typecheck passes</t>
        </is>
      </c>
      <c r="G29" s="5" t="inlineStr">
        <is>
          <t>Closed</t>
        </is>
      </c>
    </row>
    <row r="30">
      <c r="A30" s="2" t="inlineStr">
        <is>
          <t>DEF-029</t>
        </is>
      </c>
      <c r="B30" s="2" t="inlineStr">
        <is>
          <t>E2E: isAssignedTo/updateStatus inconsistency (detected by Kamohelo, 2026-10-15; refs: FR-04, ADR-PERSIST-01)</t>
        </is>
      </c>
      <c r="C30" s="3" t="inlineStr">
        <is>
          <t>High</t>
        </is>
      </c>
      <c r="D30" s="4" t="inlineStr">
        <is>
          <t>Fixed</t>
        </is>
      </c>
      <c r="E30" s="2" t="inlineStr">
        <is>
          <t>isAssignedTo reads requests.assigned_to</t>
        </is>
      </c>
      <c r="F30" s="2" t="inlineStr">
        <is>
          <t>TC-E2E-02</t>
        </is>
      </c>
      <c r="G30" s="5" t="inlineStr">
        <is>
          <t>Closed</t>
        </is>
      </c>
    </row>
    <row r="31">
      <c r="A31" s="2" t="inlineStr">
        <is>
          <t>DEF-030</t>
        </is>
      </c>
      <c r="B31" s="2" t="inlineStr">
        <is>
          <t>Sync endpoint accepts invalid states (State Machine Bypass) (found in M3 Code Review). Root cause: incomingRequestSchema in sync.ts did not constrain the status field for new requests, allowing a client to bypass the workflow state machine and sync a pre-resolved request.</t>
        </is>
      </c>
      <c r="C31" s="3" t="inlineStr">
        <is>
          <t>High</t>
        </is>
      </c>
      <c r="D31" s="4" t="inlineStr">
        <is>
          <t>Fixed</t>
        </is>
      </c>
      <c r="E31" s="2" t="inlineStr">
        <is>
          <t>Added a guard in POST /api/sync: if (!existing &amp;&amp; incoming.status !== "submitted") throw HttpError(400).</t>
        </is>
      </c>
      <c r="F31" s="2" t="inlineStr">
        <is>
          <t>TC-BE-SYNC-01, TC-BE-SYNC-02 (Integration Tests)</t>
        </is>
      </c>
      <c r="G31" s="5" t="inlineStr">
        <is>
          <t>Closed</t>
        </is>
      </c>
    </row>
    <row r="32">
      <c r="A32" s="2" t="inlineStr">
        <is>
          <t>DEF-031</t>
        </is>
      </c>
      <c r="B32" s="2" t="inlineStr">
        <is>
          <t>Admin assignment does not persist to PostgreSQL (found in M4 Integration Testing). Root cause: The frontend assignWorkersTx was still using the M2 localStorage mock instead of calling the backend. Consequently, the request_workers table remained empty, and workers received a 403 Forbidden when trying to accept jobs.</t>
        </is>
      </c>
      <c r="C32" s="3" t="inlineStr">
        <is>
          <t>Critical</t>
        </is>
      </c>
      <c r="D32" s="4" t="inlineStr">
        <is>
          <t>Fixed</t>
        </is>
      </c>
      <c r="E32" s="2" t="inlineStr">
        <is>
          <t>Created the PATCH /api/requests/:id/assign backend route. Rewrote the frontend repository to send the assignedWorkerIds to the database via a transactional query.</t>
        </is>
      </c>
      <c r="F32" s="2" t="inlineStr">
        <is>
          <t>TC-E2E-02, Live Demo, Supabase request_workers table</t>
        </is>
      </c>
      <c r="G32" s="5" t="inlineStr">
        <is>
          <t>Closed</t>
        </is>
      </c>
    </row>
    <row r="33">
      <c r="A33" s="2" t="inlineStr">
        <is>
          <t>DEF-032</t>
        </is>
      </c>
      <c r="B33" s="2" t="inlineStr">
        <is>
          <t>Missing assignee role validation (found in M4 Code Review). Root cause: The backend accepted any UUID for assignedTo during a transition. An admin's ID could be assigned as a field worker because the statusSchema only checked for a valid UUID format.</t>
        </is>
      </c>
      <c r="C33" s="3" t="inlineStr">
        <is>
          <t>Medium</t>
        </is>
      </c>
      <c r="D33" s="4" t="inlineStr">
        <is>
          <t>Fixed</t>
        </is>
      </c>
      <c r="E33" s="2" t="inlineStr">
        <is>
          <t>Added a validation check in workflow.service.ts to ensure userRepository.isActiveFieldWorker(assignee.id) is true before saving the transition.</t>
        </is>
      </c>
      <c r="F33" s="2" t="inlineStr">
        <is>
          <t>Code review, Admin UI validation</t>
        </is>
      </c>
      <c r="G33" s="5" t="inlineStr">
        <is>
          <t>Closed</t>
        </is>
      </c>
    </row>
    <row r="34">
      <c r="A34" s="2" t="inlineStr">
        <is>
          <t>DEF-033</t>
        </is>
      </c>
      <c r="B34" s="2" t="inlineStr">
        <is>
          <t>CI Pipeline fails due to pg-pool double-close (found in M4 CI/CD Implementation). Root cause: When Vitest tore down the test environment, it fired SIGTERM/SIGINT multiple times. The pg pool threw an unhandled rejection (Called end on pool more than once) crashing the CI build.</t>
        </is>
      </c>
      <c r="C34" s="3" t="inlineStr">
        <is>
          <t>Medium</t>
        </is>
      </c>
      <c r="D34" s="4" t="inlineStr">
        <is>
          <t>Fixed</t>
        </is>
      </c>
      <c r="E34" s="2" t="inlineStr">
        <is>
          <t>Changed process.on to process.once in db.ts and wrapped pool.end() in a try/catch block to ignore duplicate close commands.</t>
        </is>
      </c>
      <c r="F34" s="2" t="inlineStr">
        <is>
          <t>GitHub Actions (Green Checkmark)</t>
        </is>
      </c>
      <c r="G34" s="5" t="inlineStr">
        <is>
          <t>Closed</t>
        </is>
      </c>
    </row>
    <row r="35">
      <c r="A35" s="2" t="inlineStr">
        <is>
          <t>DEF-034</t>
        </is>
      </c>
      <c r="B35" s="2" t="inlineStr">
        <is>
          <t>Worker status transitions fail silently in UI (found in M4 Integration Testing). Root cause: The transition function in workflow.ts was not asynchronous and relied on local storage. When the frontend was updated to use the API, the buttons did not await the API call, preventing the database from updating.</t>
        </is>
      </c>
      <c r="C35" s="3" t="inlineStr">
        <is>
          <t>High</t>
        </is>
      </c>
      <c r="D35" s="4" t="inlineStr">
        <is>
          <t>Fixed</t>
        </is>
      </c>
      <c r="E35" s="2" t="inlineStr">
        <is>
          <t>Changed transition to an async function, added await to the repository call, and updated the StaffRequest component to handle the async onClick.</t>
        </is>
      </c>
      <c r="F35" s="2" t="inlineStr">
        <is>
          <t>Live Demo, Supabase request_history timestamps</t>
        </is>
      </c>
      <c r="G35" s="5" t="inlineStr">
        <is>
          <t>Closed</t>
        </is>
      </c>
    </row>
  </sheetData>
  <autoFilter ref="A1:G3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12" customWidth="1" min="1" max="1"/>
    <col width="100" customWidth="1" min="2" max="2"/>
  </cols>
  <sheetData>
    <row r="1">
      <c r="A1" s="9" t="inlineStr">
        <is>
          <t>Severity</t>
        </is>
      </c>
      <c r="B1" s="9" t="inlineStr">
        <is>
          <t>Definition</t>
        </is>
      </c>
    </row>
    <row r="2">
      <c r="A2" s="6" t="inlineStr">
        <is>
          <t>Critical</t>
        </is>
      </c>
      <c r="B2" s="2" t="inlineStr">
        <is>
          <t>Data loss, security vulnerability, or complete failure of a core feature (login, persistence, sync).</t>
        </is>
      </c>
    </row>
    <row r="3">
      <c r="A3" s="3" t="inlineStr">
        <is>
          <t>High</t>
        </is>
      </c>
      <c r="B3" s="2" t="inlineStr">
        <is>
          <t>Major feature broken or incorrect behavior with no viable workaround (RBAC, workflow, API endpoints).</t>
        </is>
      </c>
    </row>
    <row r="4">
      <c r="A4" s="7" t="inlineStr">
        <is>
          <t>Medium</t>
        </is>
      </c>
      <c r="B4" s="2" t="inlineStr">
        <is>
          <t>Partial breakage, incorrect behavior with a workaround, or non-critical quality issues (validation, limits).</t>
        </is>
      </c>
    </row>
    <row r="5">
      <c r="A5" s="8" t="inlineStr">
        <is>
          <t>Low</t>
        </is>
      </c>
      <c r="B5" s="2" t="inlineStr">
        <is>
          <t>Cosmetic, duplication, or minor issues with no functional impact (code cleanliness, type strictness).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4" customWidth="1" min="1" max="1"/>
    <col width="70" customWidth="1" min="2" max="2"/>
  </cols>
  <sheetData>
    <row r="1">
      <c r="A1" s="9" t="inlineStr">
        <is>
          <t>State</t>
        </is>
      </c>
      <c r="B1" s="9" t="inlineStr">
        <is>
          <t>Definition</t>
        </is>
      </c>
    </row>
    <row r="2">
      <c r="A2" s="2" t="inlineStr">
        <is>
          <t>Open</t>
        </is>
      </c>
      <c r="B2" s="2" t="inlineStr">
        <is>
          <t>Defect confirmed, not yet worked on.</t>
        </is>
      </c>
    </row>
    <row r="3">
      <c r="A3" s="2" t="inlineStr">
        <is>
          <t>In Progress</t>
        </is>
      </c>
      <c r="B3" s="2" t="inlineStr">
        <is>
          <t>A fix is being developed.</t>
        </is>
      </c>
    </row>
    <row r="4">
      <c r="A4" s="2" t="inlineStr">
        <is>
          <t>Fixed</t>
        </is>
      </c>
      <c r="B4" s="2" t="inlineStr">
        <is>
          <t>Fix implemented; awaiting regression testing.</t>
        </is>
      </c>
    </row>
    <row r="5">
      <c r="A5" s="2" t="inlineStr">
        <is>
          <t>Verified</t>
        </is>
      </c>
      <c r="B5" s="2" t="inlineStr">
        <is>
          <t>Regression test passed; fix confirmed by a reviewer.</t>
        </is>
      </c>
    </row>
    <row r="6">
      <c r="A6" s="2" t="inlineStr">
        <is>
          <t>Closed</t>
        </is>
      </c>
      <c r="B6" s="2" t="inlineStr">
        <is>
          <t>Fix verified and accepted.</t>
        </is>
      </c>
    </row>
    <row r="7">
      <c r="A7" s="2" t="inlineStr">
        <is>
          <t>Won't Fix</t>
        </is>
      </c>
      <c r="B7" s="2" t="inlineStr">
        <is>
          <t>Accepted as-is; documented rationale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14" customWidth="1" min="2" max="2"/>
  </cols>
  <sheetData>
    <row r="1">
      <c r="A1" s="10" t="inlineStr">
        <is>
          <t>Defect Register Summary</t>
        </is>
      </c>
    </row>
    <row r="3">
      <c r="A3" t="inlineStr">
        <is>
          <t>Total Defects</t>
        </is>
      </c>
      <c r="B3">
        <f>COUNTA(Defects!A2:A1000)</f>
        <v/>
      </c>
    </row>
    <row r="5">
      <c r="A5" s="11" t="inlineStr">
        <is>
          <t>Counts by Severity</t>
        </is>
      </c>
      <c r="B5" s="11" t="n"/>
    </row>
    <row r="6">
      <c r="A6" s="12" t="inlineStr">
        <is>
          <t>Severity</t>
        </is>
      </c>
      <c r="B6" s="12" t="inlineStr">
        <is>
          <t>Count</t>
        </is>
      </c>
    </row>
    <row r="7">
      <c r="A7" t="inlineStr">
        <is>
          <t>Critical</t>
        </is>
      </c>
      <c r="B7">
        <f>COUNTIF(Defects!C:C,A7)</f>
        <v/>
      </c>
    </row>
    <row r="8">
      <c r="A8" t="inlineStr">
        <is>
          <t>High</t>
        </is>
      </c>
      <c r="B8">
        <f>COUNTIF(Defects!C:C,A8)</f>
        <v/>
      </c>
    </row>
    <row r="9">
      <c r="A9" t="inlineStr">
        <is>
          <t>Medium</t>
        </is>
      </c>
      <c r="B9">
        <f>COUNTIF(Defects!C:C,A9)</f>
        <v/>
      </c>
    </row>
    <row r="10">
      <c r="A10" t="inlineStr">
        <is>
          <t>Low</t>
        </is>
      </c>
      <c r="B10">
        <f>COUNTIF(Defects!C:C,A10)</f>
        <v/>
      </c>
    </row>
    <row r="12">
      <c r="A12" s="11" t="inlineStr">
        <is>
          <t>Counts by State</t>
        </is>
      </c>
      <c r="B12" s="11" t="n"/>
    </row>
    <row r="13">
      <c r="A13" s="12" t="inlineStr">
        <is>
          <t>State</t>
        </is>
      </c>
      <c r="B13" s="12" t="inlineStr">
        <is>
          <t>Count</t>
        </is>
      </c>
    </row>
    <row r="14">
      <c r="A14" t="inlineStr">
        <is>
          <t>Open</t>
        </is>
      </c>
      <c r="B14">
        <f>COUNTIF(Defects!G:G,A14)</f>
        <v/>
      </c>
    </row>
    <row r="15">
      <c r="A15" t="inlineStr">
        <is>
          <t>In Progress</t>
        </is>
      </c>
      <c r="B15">
        <f>COUNTIF(Defects!G:G,A15)</f>
        <v/>
      </c>
    </row>
    <row r="16">
      <c r="A16" t="inlineStr">
        <is>
          <t>Fixed</t>
        </is>
      </c>
      <c r="B16">
        <f>COUNTIF(Defects!G:G,A16)</f>
        <v/>
      </c>
    </row>
    <row r="17">
      <c r="A17" t="inlineStr">
        <is>
          <t>Verified</t>
        </is>
      </c>
      <c r="B17">
        <f>COUNTIF(Defects!G:G,A17)</f>
        <v/>
      </c>
    </row>
    <row r="18">
      <c r="A18" t="inlineStr">
        <is>
          <t>Closed</t>
        </is>
      </c>
      <c r="B18">
        <f>COUNTIF(Defects!G:G,A18)</f>
        <v/>
      </c>
    </row>
    <row r="19">
      <c r="A19" t="inlineStr">
        <is>
          <t>Won't Fix</t>
        </is>
      </c>
      <c r="B19">
        <f>COUNTIF(Defects!G:G,A19)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2026-10-16T03:27:57Z</dcterms:created>
  <dcterms:modified xmlns:dcterms="http://purl.org/dc/terms/" xmlns:xsi="http://www.w3.org/2001/XMLSchema-instance" xsi:type="dcterms:W3CDTF">2026-10-18T20:12:41Z</dcterms:modified>
</cp:coreProperties>
</file>